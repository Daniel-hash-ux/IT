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2" l="1"/>
  <c r="B10" i="2"/>
  <c r="B9" i="2"/>
  <c r="F7" i="2"/>
  <c r="E7" i="2"/>
  <c r="D7" i="2"/>
  <c r="B7" i="2"/>
  <c r="E3" i="2"/>
  <c r="F3" i="2" s="1"/>
  <c r="E4" i="2"/>
  <c r="F4" i="2" s="1"/>
  <c r="E5" i="2"/>
  <c r="E6" i="2"/>
  <c r="F5" i="2"/>
  <c r="F6" i="2"/>
  <c r="D3" i="2"/>
  <c r="D4" i="2"/>
  <c r="D5" i="2"/>
  <c r="D6" i="2"/>
  <c r="D2" i="2"/>
  <c r="E2" i="2" s="1"/>
  <c r="F2" i="2" s="1"/>
</calcChain>
</file>

<file path=xl/sharedStrings.xml><?xml version="1.0" encoding="utf-8"?>
<sst xmlns="http://schemas.openxmlformats.org/spreadsheetml/2006/main" count="18" uniqueCount="18">
  <si>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</si>
  <si>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</si>
  <si>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</si>
  <si>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</si>
  <si>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</si>
  <si>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</si>
  <si>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</si>
  <si>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</si>
  <si>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</si>
  <si>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</si>
  <si>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</si>
  <si>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</si>
  <si>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Ставки НДФЛ</t>
  </si>
  <si>
    <t>Коэффициент</t>
  </si>
  <si>
    <t>ИТОГО:</t>
  </si>
  <si>
    <t>Средняя зарплата:</t>
  </si>
  <si>
    <t>Минимум:</t>
  </si>
  <si>
    <t>Максимум: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</si>
</sst>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165" formatCode="#,##0.0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center"/>
    </xf>
    <xf numFmtId="9" fontId="0" fillId="2" borderId="1" xfId="2" applyNumberFormat="1" applyFont="1" applyFill="1" applyBorder="1"/>
    <xf numFmtId="0" fontId="3" fillId="3" borderId="1" xfId="0" applyFont="1" applyFill="1" applyBorder="1" applyAlignment="1">
      <alignment horizontal="center"/>
    </xf>
    <xf numFmtId="165" fontId="3" fillId="0" borderId="0" xfId="0" applyNumberFormat="1" applyFont="1"/>
    <xf numFmtId="165" fontId="3" fillId="0" borderId="0" xfId="1" applyNumberFormat="1" applyFo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6" sqref="E16"/>
    </sheetView>
  </sheetViews>
  <sheetFormatPr defaultRowHeight="14.4" x14ac:dyDescent="0.3"/>
  <cols>
    <col min="1" max="1" width="16.88671875" customWidth="1"/>
    <col min="2" max="2" width="15.21875" customWidth="1"/>
    <col min="3" max="3" width="12.21875" customWidth="1"/>
    <col min="4" max="4" width="18.77734375" customWidth="1"/>
    <col min="5" max="5" width="24" customWidth="1"/>
    <col min="6" max="6" width="18.21875" customWidth="1"/>
    <col min="8" max="8" width="12.6640625" customWidth="1"/>
    <col min="9" max="9" width="12.77734375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11</v>
      </c>
      <c r="H1" s="8" t="s">
        <v>12</v>
      </c>
      <c r="I1" s="8" t="s">
        <v>13</v>
      </c>
    </row>
    <row r="2" spans="1:9" x14ac:dyDescent="0.3">
      <c r="A2" s="3" t="s">
        <v>6</v>
      </c>
      <c r="B2" s="4">
        <v>50000</v>
      </c>
      <c r="C2" s="3">
        <v>20</v>
      </c>
      <c r="D2" s="4">
        <f>B2*C2/100</f>
        <v>10000</v>
      </c>
      <c r="E2" s="4">
        <f>(B2+D2)*$H$2</f>
        <v>9000</v>
      </c>
      <c r="F2" s="4">
        <f>B2+D2-E2</f>
        <v>51000</v>
      </c>
      <c r="G2" s="3">
        <v>1</v>
      </c>
      <c r="H2" s="7">
        <v>0.15</v>
      </c>
      <c r="I2" s="5">
        <v>1.5</v>
      </c>
    </row>
    <row r="3" spans="1:9" x14ac:dyDescent="0.3">
      <c r="A3" s="3" t="s">
        <v>7</v>
      </c>
      <c r="B3" s="4">
        <v>45000</v>
      </c>
      <c r="C3" s="3">
        <v>15</v>
      </c>
      <c r="D3" s="4">
        <f t="shared" ref="D3:D6" si="0">B3*C3/100</f>
        <v>6750</v>
      </c>
      <c r="E3" s="4">
        <f t="shared" ref="E3:E6" si="1">(B3+D3)*$H$2</f>
        <v>7762.5</v>
      </c>
      <c r="F3" s="4">
        <f t="shared" ref="F3:F6" si="2">B3+D3-E3</f>
        <v>43987.5</v>
      </c>
      <c r="G3" s="3">
        <v>2</v>
      </c>
      <c r="H3" s="3"/>
      <c r="I3" s="3"/>
    </row>
    <row r="4" spans="1:9" x14ac:dyDescent="0.3">
      <c r="A4" s="3" t="s">
        <v>8</v>
      </c>
      <c r="B4" s="4">
        <v>62000</v>
      </c>
      <c r="C4" s="3">
        <v>25</v>
      </c>
      <c r="D4" s="4">
        <f t="shared" si="0"/>
        <v>15500</v>
      </c>
      <c r="E4" s="4">
        <f t="shared" si="1"/>
        <v>11625</v>
      </c>
      <c r="F4" s="4">
        <f t="shared" si="2"/>
        <v>65875</v>
      </c>
      <c r="G4" s="3">
        <v>3</v>
      </c>
      <c r="H4" s="3"/>
      <c r="I4" s="3"/>
    </row>
    <row r="5" spans="1:9" x14ac:dyDescent="0.3">
      <c r="A5" s="3" t="s">
        <v>9</v>
      </c>
      <c r="B5" s="4">
        <v>55000</v>
      </c>
      <c r="C5" s="3">
        <v>10</v>
      </c>
      <c r="D5" s="4">
        <f t="shared" si="0"/>
        <v>5500</v>
      </c>
      <c r="E5" s="4">
        <f t="shared" si="1"/>
        <v>9075</v>
      </c>
      <c r="F5" s="4">
        <f t="shared" si="2"/>
        <v>51425</v>
      </c>
      <c r="G5" s="3">
        <v>4</v>
      </c>
      <c r="H5" s="3"/>
      <c r="I5" s="3"/>
    </row>
    <row r="6" spans="1:9" x14ac:dyDescent="0.3">
      <c r="A6" s="3" t="s">
        <v>10</v>
      </c>
      <c r="B6" s="4">
        <v>40000</v>
      </c>
      <c r="C6" s="3">
        <v>30</v>
      </c>
      <c r="D6" s="4">
        <f t="shared" si="0"/>
        <v>12000</v>
      </c>
      <c r="E6" s="4">
        <f t="shared" si="1"/>
        <v>7800</v>
      </c>
      <c r="F6" s="4">
        <f t="shared" si="2"/>
        <v>44200</v>
      </c>
      <c r="G6" s="3">
        <v>5</v>
      </c>
      <c r="H6" s="3"/>
      <c r="I6" s="3"/>
    </row>
    <row r="7" spans="1:9" x14ac:dyDescent="0.3">
      <c r="A7" s="1" t="s">
        <v>14</v>
      </c>
      <c r="B7" s="9">
        <f>SUM(B2,B3,B4,B5,B6)</f>
        <v>252000</v>
      </c>
      <c r="C7" s="1"/>
      <c r="D7" s="10">
        <f>SUM(D2:D6)</f>
        <v>49750</v>
      </c>
      <c r="E7" s="9">
        <f>SUM(E2:E6)</f>
        <v>45262.5</v>
      </c>
      <c r="F7" s="9">
        <f>SUM(F2:F6)</f>
        <v>256487.5</v>
      </c>
    </row>
    <row r="9" spans="1:9" x14ac:dyDescent="0.3">
      <c r="A9" t="s">
        <v>15</v>
      </c>
      <c r="B9" s="2">
        <f>AVERAGE(F2:F6)</f>
        <v>51297.5</v>
      </c>
    </row>
    <row r="10" spans="1:9" x14ac:dyDescent="0.3">
      <c r="A10" t="s">
        <v>17</v>
      </c>
      <c r="B10" s="2">
        <f>MAX(F2:F6)</f>
        <v>65875</v>
      </c>
    </row>
    <row r="11" spans="1:9" x14ac:dyDescent="0.3">
      <c r="A11" t="s">
        <v>16</v>
      </c>
      <c r="B11" s="2">
        <f>MIN(F2:F6)</f>
        <v>43987.5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2026-09-28T11:28:58Z</dcterms:modified>
</cp:coreProperties>
</file>